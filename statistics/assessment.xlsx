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3620d531552e12ac/Desktop/Yug/data analyatics/tops/statistics/"/>
    </mc:Choice>
  </mc:AlternateContent>
  <xr:revisionPtr revIDLastSave="162" documentId="8_{FC396243-19A1-46D3-9F25-AB7984C9ABB0}" xr6:coauthVersionLast="47" xr6:coauthVersionMax="47" xr10:uidLastSave="{1BD6C94D-0916-4019-91BB-E695DF495C56}"/>
  <bookViews>
    <workbookView xWindow="-108" yWindow="-108" windowWidth="23256" windowHeight="12456" activeTab="1" xr2:uid="{228122C7-60B6-4209-AD76-914AFA05BCD1}"/>
  </bookViews>
  <sheets>
    <sheet name="Sheet1" sheetId="1" r:id="rId1"/>
    <sheet name="Table1" sheetId="6" r:id="rId2"/>
    <sheet name="Table2" sheetId="7" r:id="rId3"/>
  </sheets>
  <externalReferences>
    <externalReference r:id="rId4"/>
  </externalReferences>
  <definedNames>
    <definedName name="ExternalData_1" localSheetId="1" hidden="1">Table1!$A$1:$F$13</definedName>
    <definedName name="ExternalData_1" localSheetId="2" hidden="1">Table2!$A$1:$F$9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4" i="7" l="1"/>
  <c r="B21" i="6"/>
  <c r="B19" i="6"/>
  <c r="B41" i="1"/>
  <c r="C34" i="1"/>
  <c r="B34" i="1"/>
  <c r="C33" i="1"/>
  <c r="B33" i="1"/>
  <c r="B36" i="1" l="1"/>
  <c r="C28" i="1"/>
  <c r="C27" i="1"/>
  <c r="B28" i="1"/>
  <c r="B27" i="1"/>
  <c r="B10" i="1"/>
  <c r="B11"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697010-88D3-46A0-9F3D-F01942FE8166}" keepAlive="1" name="Query - Table14" description="Connection to the 'Table14' query in the workbook." type="5" refreshedVersion="8" background="1" saveData="1">
    <dbPr connection="Provider=Microsoft.Mashup.OleDb.1;Data Source=$Workbook$;Location=Table14;Extended Properties=&quot;&quot;" command="SELECT * FROM [Table14]"/>
  </connection>
  <connection id="2" xr16:uid="{E1EC1637-DB9C-4EC5-8AC8-A2E3C0C308BA}"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<sst xmlns="http://schemas.openxmlformats.org/spreadsheetml/2006/main" count="74" uniqueCount="63">
  <si>
    <t>Mean</t>
  </si>
  <si>
    <t>Standard Deviation</t>
  </si>
  <si>
    <t>size</t>
  </si>
  <si>
    <t>Girl</t>
  </si>
  <si>
    <t>Boys</t>
  </si>
  <si>
    <t xml:space="preserve">category </t>
  </si>
  <si>
    <t xml:space="preserve">diagnosed of cancer </t>
  </si>
  <si>
    <t>total</t>
  </si>
  <si>
    <t>smokers</t>
  </si>
  <si>
    <t>non-smokers</t>
  </si>
  <si>
    <t xml:space="preserve">z test </t>
  </si>
  <si>
    <t xml:space="preserve">p value </t>
  </si>
  <si>
    <r>
      <t>Conclusion:</t>
    </r>
    <r>
      <rPr>
        <sz val="11"/>
        <color theme="1"/>
        <rFont val="Calibri"/>
        <family val="2"/>
        <scheme val="minor"/>
      </rPr>
      <t xml:space="preserve"> p ≪ 0.05 → </t>
    </r>
    <r>
      <rPr>
        <b/>
        <sz val="11"/>
        <color theme="1"/>
        <rFont val="Calibri"/>
        <family val="2"/>
        <scheme val="minor"/>
      </rPr>
      <t>Reject H₀.</t>
    </r>
    <r>
      <rPr>
        <sz val="11"/>
        <color theme="1"/>
        <rFont val="Calibri"/>
        <family val="2"/>
        <scheme val="minor"/>
      </rPr>
      <t xml:space="preserve"> There is a statistically significant difference in intelligence scores</t>
    </r>
  </si>
  <si>
    <t>Ans.</t>
  </si>
  <si>
    <t xml:space="preserve">chi-square value </t>
  </si>
  <si>
    <t>without cancer</t>
  </si>
  <si>
    <t>df=(r−1)(c−1)=(2−1)(2−1)=1</t>
  </si>
  <si>
    <t xml:space="preserve">P value </t>
  </si>
  <si>
    <r>
      <rPr>
        <b/>
        <sz val="11"/>
        <color theme="1"/>
        <rFont val="Calibri"/>
        <family val="2"/>
        <scheme val="minor"/>
      </rPr>
      <t>Conclusion:</t>
    </r>
    <r>
      <rPr>
        <sz val="11"/>
        <color theme="1"/>
        <rFont val="Calibri"/>
        <family val="2"/>
        <scheme val="minor"/>
      </rPr>
      <t>Since p-value ≈ 0 &lt; 0.05, we reject the null hypothesis and conclude that smoking is significantly associated with cancer.</t>
    </r>
  </si>
  <si>
    <r>
      <t>H₀:</t>
    </r>
    <r>
      <rPr>
        <sz val="11"/>
        <color theme="1"/>
        <rFont val="Calibri"/>
        <family val="2"/>
        <scheme val="minor"/>
      </rPr>
      <t xml:space="preserve"> Smoking and cancer are </t>
    </r>
    <r>
      <rPr>
        <b/>
        <sz val="11"/>
        <color theme="1"/>
        <rFont val="Calibri"/>
        <family val="2"/>
        <scheme val="minor"/>
      </rPr>
      <t>independent</t>
    </r>
    <r>
      <rPr>
        <sz val="11"/>
        <color theme="1"/>
        <rFont val="Calibri"/>
        <family val="2"/>
        <scheme val="minor"/>
      </rPr>
      <t>.</t>
    </r>
  </si>
  <si>
    <r>
      <t>H₁:</t>
    </r>
    <r>
      <rPr>
        <sz val="11"/>
        <color theme="1"/>
        <rFont val="Calibri"/>
        <family val="2"/>
        <scheme val="minor"/>
      </rPr>
      <t xml:space="preserve"> Smoking and cancer are </t>
    </r>
    <r>
      <rPr>
        <b/>
        <sz val="11"/>
        <color theme="1"/>
        <rFont val="Calibri"/>
        <family val="2"/>
        <scheme val="minor"/>
      </rPr>
      <t>not independent</t>
    </r>
    <r>
      <rPr>
        <sz val="11"/>
        <color theme="1"/>
        <rFont val="Calibri"/>
        <family val="2"/>
        <scheme val="minor"/>
      </rPr>
      <t>.</t>
    </r>
  </si>
  <si>
    <r>
      <rPr>
        <b/>
        <sz val="11"/>
        <color theme="1"/>
        <rFont val="Calibri"/>
        <family val="2"/>
        <scheme val="minor"/>
      </rPr>
      <t>H1</t>
    </r>
    <r>
      <rPr>
        <sz val="11"/>
        <color theme="1"/>
        <rFont val="Calibri"/>
        <family val="2"/>
        <scheme val="minor"/>
      </rPr>
      <t xml:space="preserve">: u1!=u-2 </t>
    </r>
    <r>
      <rPr>
        <b/>
        <sz val="11"/>
        <color theme="1"/>
        <rFont val="Calibri"/>
        <family val="2"/>
        <scheme val="minor"/>
      </rPr>
      <t>(there is a difference)</t>
    </r>
  </si>
  <si>
    <r>
      <rPr>
        <b/>
        <sz val="11"/>
        <color theme="1"/>
        <rFont val="Calibri"/>
        <family val="2"/>
        <scheme val="minor"/>
      </rPr>
      <t>H0:</t>
    </r>
    <r>
      <rPr>
        <sz val="11"/>
        <color theme="1"/>
        <rFont val="Calibri"/>
        <family val="2"/>
        <scheme val="minor"/>
      </rPr>
      <t xml:space="preserve"> u1 = u2 </t>
    </r>
    <r>
      <rPr>
        <b/>
        <sz val="11"/>
        <color theme="1"/>
        <rFont val="Calibri"/>
        <family val="2"/>
        <scheme val="minor"/>
      </rPr>
      <t>(no diference)</t>
    </r>
  </si>
  <si>
    <t>Population Variance</t>
  </si>
  <si>
    <t>only 2007</t>
  </si>
  <si>
    <t>all year</t>
  </si>
  <si>
    <t>2007 Month</t>
  </si>
  <si>
    <t>2007 Amount</t>
  </si>
  <si>
    <t>2008 Month</t>
  </si>
  <si>
    <t>2008 Amount</t>
  </si>
  <si>
    <t>2009 Month</t>
  </si>
  <si>
    <t>2009 Amount</t>
  </si>
  <si>
    <t>Group 1 Ref</t>
  </si>
  <si>
    <t>Height</t>
  </si>
  <si>
    <t>Group 2 Ref</t>
  </si>
  <si>
    <t>Height2</t>
  </si>
  <si>
    <t>Group 3 Ref</t>
  </si>
  <si>
    <t>Height3</t>
  </si>
  <si>
    <t>G1.1</t>
  </si>
  <si>
    <t>G2.1</t>
  </si>
  <si>
    <t>G3.1</t>
  </si>
  <si>
    <t>G1.2</t>
  </si>
  <si>
    <t>G2.2</t>
  </si>
  <si>
    <t>G3.2</t>
  </si>
  <si>
    <t>G1.3</t>
  </si>
  <si>
    <t>G2.3</t>
  </si>
  <si>
    <t>G3.3</t>
  </si>
  <si>
    <t>G1.4</t>
  </si>
  <si>
    <t>G2.4</t>
  </si>
  <si>
    <t>G3.4</t>
  </si>
  <si>
    <t>G1.5</t>
  </si>
  <si>
    <t>G2.5</t>
  </si>
  <si>
    <t>G3.5</t>
  </si>
  <si>
    <t>G1.6</t>
  </si>
  <si>
    <t>G2.6</t>
  </si>
  <si>
    <t>G3.6</t>
  </si>
  <si>
    <t>G1.7</t>
  </si>
  <si>
    <t>G2.7</t>
  </si>
  <si>
    <t>G3.7</t>
  </si>
  <si>
    <t>G1.8</t>
  </si>
  <si>
    <t>G2.8</t>
  </si>
  <si>
    <t>G3.8</t>
  </si>
  <si>
    <t>Sample Variance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</si>
</sst>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0"/>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8">
    <xf numFmtId="0" fontId="0" fillId="0" borderId="0" xfId="0"/>
    <xf numFmtId="0" fontId="0" fillId="0" borderId="1" xfId="0" applyBorder="1"/>
    <xf numFmtId="0" fontId="2" fillId="0" borderId="1" xfId="0" applyFont="1" applyBorder="1"/>
    <xf numFmtId="0" fontId="1" fillId="0" borderId="0" xfId="0" applyFont="1"/>
    <xf numFmtId="0" fontId="0" fillId="0" borderId="2" xfId="0" applyBorder="1"/>
    <xf numFmtId="0" fontId="0" fillId="0" borderId="3" xfId="0" applyBorder="1"/>
    <xf numFmtId="14" fontId="0" fillId="0" borderId="0" xfId="0" applyNumberFormat="1"/>
    <xf numFmtId="0"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4</xdr:col>
      <xdr:colOff>137160</xdr:colOff>
      <xdr:row>0</xdr:row>
      <xdr:rowOff>175260</xdr:rowOff>
    </xdr:from>
    <xdr:to>
      <xdr:col>11</xdr:col>
      <xdr:colOff>426720</xdr:colOff>
      <xdr:row>5</xdr:row>
      <xdr:rowOff>83820</xdr:rowOff>
    </xdr:to>
    <xdr:sp macro="" textlink="">
      <xdr:nvSpPr>
        <xdr:cNvPr id="2" name="TextBox 1">
          <a:extLst>
            <a:ext uri="{FF2B5EF4-FFF2-40B4-BE49-F238E27FC236}">
              <a16:creationId xmlns:a16="http://schemas.microsoft.com/office/drawing/2014/main" id="{C5508B46-1B1E-BE6C-0537-CD797A2477B8}"/>
            </a:ext>
          </a:extLst>
        </xdr:cNvPr>
        <xdr:cNvSpPr txBox="1"/>
      </xdr:nvSpPr>
      <xdr:spPr>
        <a:xfrm>
          <a:off x="3101340" y="175260"/>
          <a:ext cx="4556760" cy="822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Question 1. There is an assumption that there is no significant difference between boys and girls with respect to intelligence. Tests are conducted on two groups and the following are the observations </a:t>
          </a:r>
          <a:endParaRPr lang="en-IN" sz="1100"/>
        </a:p>
      </xdr:txBody>
    </xdr:sp>
    <xdr:clientData/>
  </xdr:twoCellAnchor>
  <xdr:twoCellAnchor>
    <xdr:from>
      <xdr:col>4</xdr:col>
      <xdr:colOff>129540</xdr:colOff>
      <xdr:row>16</xdr:row>
      <xdr:rowOff>22860</xdr:rowOff>
    </xdr:from>
    <xdr:to>
      <xdr:col>10</xdr:col>
      <xdr:colOff>76200</xdr:colOff>
      <xdr:row>19</xdr:row>
      <xdr:rowOff>22860</xdr:rowOff>
    </xdr:to>
    <xdr:sp macro="" textlink="">
      <xdr:nvSpPr>
        <xdr:cNvPr id="3" name="TextBox 2">
          <a:extLst>
            <a:ext uri="{FF2B5EF4-FFF2-40B4-BE49-F238E27FC236}">
              <a16:creationId xmlns:a16="http://schemas.microsoft.com/office/drawing/2014/main" id="{7D971E7C-8AE7-B688-F62C-302E183A59B7}"/>
            </a:ext>
          </a:extLst>
        </xdr:cNvPr>
        <xdr:cNvSpPr txBox="1"/>
      </xdr:nvSpPr>
      <xdr:spPr>
        <a:xfrm>
          <a:off x="3307080" y="2948940"/>
          <a:ext cx="3604260" cy="548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Question 2. Analyze the below data and tell whether you can conclude that smoking causes cancer or not?</a:t>
          </a:r>
          <a:endParaRPr lang="en-IN" sz="1100"/>
        </a:p>
      </xdr:txBody>
    </xdr:sp>
    <xdr:clientData/>
  </xdr:twoCellAnchor>
  <xdr:twoCellAnchor>
    <xdr:from>
      <xdr:col>4</xdr:col>
      <xdr:colOff>388620</xdr:colOff>
      <xdr:row>25</xdr:row>
      <xdr:rowOff>53340</xdr:rowOff>
    </xdr:from>
    <xdr:to>
      <xdr:col>9</xdr:col>
      <xdr:colOff>472440</xdr:colOff>
      <xdr:row>28</xdr:row>
      <xdr:rowOff>160020</xdr:rowOff>
    </xdr:to>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3106980-6EF2-609B-214D-5CFC0F62909E}"/>
                </a:ext>
              </a:extLst>
            </xdr:cNvPr>
            <xdr:cNvSpPr txBox="1"/>
          </xdr:nvSpPr>
          <xdr:spPr>
            <a:xfrm>
              <a:off x="3566160" y="4625340"/>
              <a:ext cx="3131820" cy="655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Step 1: Expected Values Formula</a:t>
              </a:r>
            </a:p>
            <a:p>
              <a:pPr/>
              <a14:m>
                <m:oMathPara xmlns:m="http://schemas.openxmlformats.org/officeDocument/2006/math">
                  <m:oMathParaPr>
                    <m:jc m:val="centerGroup"/>
                  </m:oMathParaPr>
                  <m:oMath xmlns:m="http://schemas.openxmlformats.org/officeDocument/2006/math">
                    <m:r>
                      <a:rPr lang="en-IN" sz="1100" i="1">
                        <a:solidFill>
                          <a:schemeClr val="dk1"/>
                        </a:solidFill>
                        <a:latin typeface="Cambria Math" panose="02040503050406030204" pitchFamily="18" charset="0"/>
                        <a:ea typeface="+mn-ea"/>
                        <a:cs typeface="+mn-cs"/>
                      </a:rPr>
                      <m:t>𝐸</m:t>
                    </m:r>
                    <m:r>
                      <a:rPr lang="en-IN" sz="1100" i="0">
                        <a:solidFill>
                          <a:schemeClr val="dk1"/>
                        </a:solidFill>
                        <a:latin typeface="Cambria Math" panose="02040503050406030204" pitchFamily="18" charset="0"/>
                        <a:ea typeface="+mn-ea"/>
                        <a:cs typeface="+mn-cs"/>
                      </a:rPr>
                      <m:t>=</m:t>
                    </m:r>
                    <m:f>
                      <m:fPr>
                        <m:ctrlPr>
                          <a:rPr lang="ar-AE" sz="1100" i="1">
                            <a:solidFill>
                              <a:schemeClr val="dk1"/>
                            </a:solidFill>
                            <a:latin typeface="Cambria Math" panose="02040503050406030204" pitchFamily="18" charset="0"/>
                            <a:ea typeface="+mn-ea"/>
                            <a:cs typeface="+mn-cs"/>
                          </a:rPr>
                        </m:ctrlPr>
                      </m:fPr>
                      <m:num>
                        <m:d>
                          <m:dPr>
                            <m:ctrlPr>
                              <a:rPr lang="ar-AE" sz="1100" i="1">
                                <a:solidFill>
                                  <a:schemeClr val="dk1"/>
                                </a:solidFill>
                                <a:latin typeface="Cambria Math" panose="02040503050406030204" pitchFamily="18" charset="0"/>
                                <a:ea typeface="+mn-ea"/>
                                <a:cs typeface="+mn-cs"/>
                              </a:rPr>
                            </m:ctrlPr>
                          </m:dPr>
                          <m:e>
                            <m:r>
                              <m:rPr>
                                <m:nor/>
                              </m:rPr>
                              <a:rPr lang="en-IN" sz="1100" b="0" i="1">
                                <a:solidFill>
                                  <a:schemeClr val="dk1"/>
                                </a:solidFill>
                                <a:latin typeface="+mn-lt"/>
                                <a:ea typeface="+mn-ea"/>
                                <a:cs typeface="+mn-cs"/>
                              </a:rPr>
                              <m:t>Row</m:t>
                            </m:r>
                            <m:r>
                              <m:rPr>
                                <m:nor/>
                              </m:rPr>
                              <a:rPr lang="en-IN" sz="1100" b="0" i="1">
                                <a:solidFill>
                                  <a:schemeClr val="dk1"/>
                                </a:solidFill>
                                <a:latin typeface="+mn-lt"/>
                                <a:ea typeface="+mn-ea"/>
                                <a:cs typeface="+mn-cs"/>
                              </a:rPr>
                              <m:t> </m:t>
                            </m:r>
                            <m:r>
                              <m:rPr>
                                <m:nor/>
                              </m:rPr>
                              <a:rPr lang="en-IN" sz="1100" b="0" i="1">
                                <a:solidFill>
                                  <a:schemeClr val="dk1"/>
                                </a:solidFill>
                                <a:latin typeface="+mn-lt"/>
                                <a:ea typeface="+mn-ea"/>
                                <a:cs typeface="+mn-cs"/>
                              </a:rPr>
                              <m:t>Total</m:t>
                            </m:r>
                          </m:e>
                        </m:d>
                        <m:d>
                          <m:dPr>
                            <m:ctrlPr>
                              <a:rPr lang="ar-AE" sz="1100" b="0" i="1">
                                <a:solidFill>
                                  <a:schemeClr val="dk1"/>
                                </a:solidFill>
                                <a:latin typeface="Cambria Math" panose="02040503050406030204" pitchFamily="18" charset="0"/>
                                <a:ea typeface="+mn-ea"/>
                                <a:cs typeface="+mn-cs"/>
                              </a:rPr>
                            </m:ctrlPr>
                          </m:dPr>
                          <m:e>
                            <m:r>
                              <m:rPr>
                                <m:nor/>
                              </m:rPr>
                              <a:rPr lang="en-IN" sz="1100" b="0" i="1">
                                <a:solidFill>
                                  <a:schemeClr val="dk1"/>
                                </a:solidFill>
                                <a:latin typeface="+mn-lt"/>
                                <a:ea typeface="+mn-ea"/>
                                <a:cs typeface="+mn-cs"/>
                              </a:rPr>
                              <m:t>Column</m:t>
                            </m:r>
                            <m:r>
                              <m:rPr>
                                <m:nor/>
                              </m:rPr>
                              <a:rPr lang="en-IN" sz="1100" b="0" i="1">
                                <a:solidFill>
                                  <a:schemeClr val="dk1"/>
                                </a:solidFill>
                                <a:latin typeface="+mn-lt"/>
                                <a:ea typeface="+mn-ea"/>
                                <a:cs typeface="+mn-cs"/>
                              </a:rPr>
                              <m:t> </m:t>
                            </m:r>
                            <m:r>
                              <m:rPr>
                                <m:nor/>
                              </m:rPr>
                              <a:rPr lang="en-IN" sz="1100" b="0" i="1">
                                <a:solidFill>
                                  <a:schemeClr val="dk1"/>
                                </a:solidFill>
                                <a:latin typeface="+mn-lt"/>
                                <a:ea typeface="+mn-ea"/>
                                <a:cs typeface="+mn-cs"/>
                              </a:rPr>
                              <m:t>Total</m:t>
                            </m:r>
                          </m:e>
                        </m:d>
                      </m:num>
                      <m:den>
                        <m:r>
                          <m:rPr>
                            <m:nor/>
                          </m:rPr>
                          <a:rPr lang="en-IN" sz="1100" b="0" i="1">
                            <a:solidFill>
                              <a:schemeClr val="dk1"/>
                            </a:solidFill>
                            <a:latin typeface="+mn-lt"/>
                            <a:ea typeface="+mn-ea"/>
                            <a:cs typeface="+mn-cs"/>
                          </a:rPr>
                          <m:t>Grand</m:t>
                        </m:r>
                        <m:r>
                          <m:rPr>
                            <m:nor/>
                          </m:rPr>
                          <a:rPr lang="en-IN" sz="1100" b="0" i="1">
                            <a:solidFill>
                              <a:schemeClr val="dk1"/>
                            </a:solidFill>
                            <a:latin typeface="+mn-lt"/>
                            <a:ea typeface="+mn-ea"/>
                            <a:cs typeface="+mn-cs"/>
                          </a:rPr>
                          <m:t> </m:t>
                        </m:r>
                        <m:r>
                          <m:rPr>
                            <m:nor/>
                          </m:rPr>
                          <a:rPr lang="en-IN" sz="1100" b="0" i="1">
                            <a:solidFill>
                              <a:schemeClr val="dk1"/>
                            </a:solidFill>
                            <a:latin typeface="+mn-lt"/>
                            <a:ea typeface="+mn-ea"/>
                            <a:cs typeface="+mn-cs"/>
                          </a:rPr>
                          <m:t>Total</m:t>
                        </m:r>
                      </m:den>
                    </m:f>
                  </m:oMath>
                </m:oMathPara>
              </a14:m>
              <a:endParaRPr lang="ar-AE" b="0"/>
            </a:p>
            <a:p>
              <a:endParaRPr lang="en-IN" sz="1100"/>
            </a:p>
          </xdr:txBody>
        </xdr:sp>
      </mc:Choice>
      <mc:Fallback xmlns="">
        <xdr:sp macro="" textlink="">
          <xdr:nvSpPr>
            <xdr:cNvPr id="4" name="TextBox 3">
              <a:extLst>
                <a:ext uri="{FF2B5EF4-FFF2-40B4-BE49-F238E27FC236}">
                  <a16:creationId xmlns:a16="http://schemas.microsoft.com/office/drawing/2014/main" id="{23106980-6EF2-609B-214D-5CFC0F62909E}"/>
                </a:ext>
              </a:extLst>
            </xdr:cNvPr>
            <xdr:cNvSpPr txBox="1"/>
          </xdr:nvSpPr>
          <xdr:spPr>
            <a:xfrm>
              <a:off x="3566160" y="4625340"/>
              <a:ext cx="3131820" cy="655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Step 1: Expected Values Formula</a:t>
              </a:r>
            </a:p>
            <a:p>
              <a:r>
                <a:rPr lang="en-IN" sz="1100" i="0">
                  <a:solidFill>
                    <a:schemeClr val="dk1"/>
                  </a:solidFill>
                  <a:latin typeface="+mn-lt"/>
                  <a:ea typeface="+mn-ea"/>
                  <a:cs typeface="+mn-cs"/>
                </a:rPr>
                <a:t>𝐸=</a:t>
              </a:r>
              <a:r>
                <a:rPr lang="ar-AE" sz="1100" i="0">
                  <a:solidFill>
                    <a:schemeClr val="dk1"/>
                  </a:solidFill>
                  <a:latin typeface="+mn-lt"/>
                  <a:ea typeface="+mn-ea"/>
                  <a:cs typeface="+mn-cs"/>
                </a:rPr>
                <a:t>(</a:t>
              </a:r>
              <a:r>
                <a:rPr lang="en-IN" sz="1100" b="0" i="0">
                  <a:solidFill>
                    <a:schemeClr val="dk1"/>
                  </a:solidFill>
                  <a:latin typeface="+mn-lt"/>
                  <a:ea typeface="+mn-ea"/>
                  <a:cs typeface="+mn-cs"/>
                </a:rPr>
                <a:t>"Row Total</a:t>
              </a:r>
              <a:r>
                <a:rPr lang="ar-AE" sz="1100" b="0" i="0">
                  <a:solidFill>
                    <a:schemeClr val="dk1"/>
                  </a:solidFill>
                  <a:latin typeface="+mn-lt"/>
                  <a:ea typeface="+mn-ea"/>
                  <a:cs typeface="+mn-cs"/>
                </a:rPr>
                <a:t>" )(</a:t>
              </a:r>
              <a:r>
                <a:rPr lang="en-IN" sz="1100" b="0" i="0">
                  <a:solidFill>
                    <a:schemeClr val="dk1"/>
                  </a:solidFill>
                  <a:latin typeface="+mn-lt"/>
                  <a:ea typeface="+mn-ea"/>
                  <a:cs typeface="+mn-cs"/>
                </a:rPr>
                <a:t>"Column Total</a:t>
              </a:r>
              <a:r>
                <a:rPr lang="ar-AE" sz="1100" b="0" i="0">
                  <a:solidFill>
                    <a:schemeClr val="dk1"/>
                  </a:solidFill>
                  <a:latin typeface="+mn-lt"/>
                  <a:ea typeface="+mn-ea"/>
                  <a:cs typeface="+mn-cs"/>
                </a:rPr>
                <a:t>" )/</a:t>
              </a:r>
              <a:r>
                <a:rPr lang="en-IN" sz="1100" b="0" i="0">
                  <a:solidFill>
                    <a:schemeClr val="dk1"/>
                  </a:solidFill>
                  <a:latin typeface="+mn-lt"/>
                  <a:ea typeface="+mn-ea"/>
                  <a:cs typeface="+mn-cs"/>
                </a:rPr>
                <a:t>"Grand Total</a:t>
              </a:r>
              <a:r>
                <a:rPr lang="ar-AE" sz="1100" b="0" i="0">
                  <a:solidFill>
                    <a:schemeClr val="dk1"/>
                  </a:solidFill>
                  <a:latin typeface="+mn-lt"/>
                  <a:ea typeface="+mn-ea"/>
                  <a:cs typeface="+mn-cs"/>
                </a:rPr>
                <a:t>" </a:t>
              </a:r>
              <a:endParaRPr lang="ar-AE" b="0"/>
            </a:p>
            <a:p>
              <a:endParaRPr lang="en-IN" sz="1100"/>
            </a:p>
          </xdr:txBody>
        </xdr:sp>
      </mc:Fallback>
    </mc:AlternateContent>
    <xdr:clientData/>
  </xdr:twoCellAnchor>
  <xdr:twoCellAnchor>
    <xdr:from>
      <xdr:col>4</xdr:col>
      <xdr:colOff>510540</xdr:colOff>
      <xdr:row>31</xdr:row>
      <xdr:rowOff>76200</xdr:rowOff>
    </xdr:from>
    <xdr:to>
      <xdr:col>9</xdr:col>
      <xdr:colOff>434340</xdr:colOff>
      <xdr:row>36</xdr:row>
      <xdr:rowOff>167640</xdr:rowOff>
    </xdr:to>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2A837DE-702B-951B-3EAF-8B48E2174BBC}"/>
                </a:ext>
              </a:extLst>
            </xdr:cNvPr>
            <xdr:cNvSpPr txBox="1"/>
          </xdr:nvSpPr>
          <xdr:spPr>
            <a:xfrm>
              <a:off x="3688080" y="5745480"/>
              <a:ext cx="2971800" cy="1005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Step 2: Chi-Square Formula</a:t>
              </a:r>
            </a:p>
            <a:p>
              <a:pPr/>
              <a14:m>
                <m:oMathPara xmlns:m="http://schemas.openxmlformats.org/officeDocument/2006/math">
                  <m:oMathParaPr>
                    <m:jc m:val="centerGroup"/>
                  </m:oMathParaPr>
                  <m:oMath xmlns:m="http://schemas.openxmlformats.org/officeDocument/2006/math">
                    <m:sSup>
                      <m:sSupPr>
                        <m:ctrlPr>
                          <a:rPr lang="ar-AE" sz="1100" i="1">
                            <a:solidFill>
                              <a:schemeClr val="dk1"/>
                            </a:solidFill>
                            <a:latin typeface="Cambria Math" panose="02040503050406030204" pitchFamily="18" charset="0"/>
                            <a:ea typeface="+mn-ea"/>
                            <a:cs typeface="+mn-cs"/>
                          </a:rPr>
                        </m:ctrlPr>
                      </m:sSupPr>
                      <m:e>
                        <m:r>
                          <a:rPr lang="ar-AE" sz="1100" i="1">
                            <a:solidFill>
                              <a:schemeClr val="dk1"/>
                            </a:solidFill>
                            <a:latin typeface="Cambria Math" panose="02040503050406030204" pitchFamily="18" charset="0"/>
                            <a:ea typeface="+mn-ea"/>
                            <a:cs typeface="+mn-cs"/>
                          </a:rPr>
                          <m:t>𝜒</m:t>
                        </m:r>
                      </m:e>
                      <m:sup>
                        <m:r>
                          <a:rPr lang="ar-AE" sz="1100" i="0">
                            <a:solidFill>
                              <a:schemeClr val="dk1"/>
                            </a:solidFill>
                            <a:latin typeface="Cambria Math" panose="02040503050406030204" pitchFamily="18" charset="0"/>
                            <a:ea typeface="+mn-ea"/>
                            <a:cs typeface="+mn-cs"/>
                          </a:rPr>
                          <m:t>2</m:t>
                        </m:r>
                      </m:sup>
                    </m:sSup>
                    <m:r>
                      <a:rPr lang="ar-AE" sz="1100" i="0">
                        <a:solidFill>
                          <a:schemeClr val="dk1"/>
                        </a:solidFill>
                        <a:latin typeface="Cambria Math" panose="02040503050406030204" pitchFamily="18" charset="0"/>
                        <a:ea typeface="+mn-ea"/>
                        <a:cs typeface="+mn-cs"/>
                      </a:rPr>
                      <m:t>=</m:t>
                    </m:r>
                    <m:nary>
                      <m:naryPr>
                        <m:chr m:val="∑"/>
                        <m:grow m:val="on"/>
                        <m:subHide m:val="on"/>
                        <m:supHide m:val="on"/>
                        <m:ctrlPr>
                          <a:rPr lang="ar-AE" sz="1100" i="1">
                            <a:solidFill>
                              <a:schemeClr val="dk1"/>
                            </a:solidFill>
                            <a:latin typeface="Cambria Math" panose="02040503050406030204" pitchFamily="18" charset="0"/>
                            <a:ea typeface="+mn-ea"/>
                            <a:cs typeface="+mn-cs"/>
                          </a:rPr>
                        </m:ctrlPr>
                      </m:naryPr>
                      <m:sub/>
                      <m:sup/>
                      <m:e>
                        <m:f>
                          <m:fPr>
                            <m:ctrlPr>
                              <a:rPr lang="ar-AE" sz="1100" i="1">
                                <a:solidFill>
                                  <a:schemeClr val="dk1"/>
                                </a:solidFill>
                                <a:latin typeface="Cambria Math" panose="02040503050406030204" pitchFamily="18" charset="0"/>
                                <a:ea typeface="+mn-ea"/>
                                <a:cs typeface="+mn-cs"/>
                              </a:rPr>
                            </m:ctrlPr>
                          </m:fPr>
                          <m:num>
                            <m:d>
                              <m:dPr>
                                <m:endChr m:val=""/>
                                <m:ctrlPr>
                                  <a:rPr lang="ar-AE" sz="1100" i="1">
                                    <a:solidFill>
                                      <a:schemeClr val="dk1"/>
                                    </a:solidFill>
                                    <a:latin typeface="Cambria Math" panose="02040503050406030204" pitchFamily="18" charset="0"/>
                                    <a:ea typeface="+mn-ea"/>
                                    <a:cs typeface="+mn-cs"/>
                                  </a:rPr>
                                </m:ctrlPr>
                              </m:dPr>
                              <m:e>
                                <m:r>
                                  <a:rPr lang="ar-AE" sz="1100" i="1">
                                    <a:solidFill>
                                      <a:schemeClr val="dk1"/>
                                    </a:solidFill>
                                    <a:latin typeface="Cambria Math" panose="02040503050406030204" pitchFamily="18" charset="0"/>
                                    <a:ea typeface="+mn-ea"/>
                                    <a:cs typeface="+mn-cs"/>
                                  </a:rPr>
                                  <m:t>𝑂</m:t>
                                </m:r>
                                <m:r>
                                  <a:rPr lang="ar-AE" sz="1100" i="0">
                                    <a:solidFill>
                                      <a:schemeClr val="dk1"/>
                                    </a:solidFill>
                                    <a:latin typeface="Cambria Math" panose="02040503050406030204" pitchFamily="18" charset="0"/>
                                    <a:ea typeface="+mn-ea"/>
                                    <a:cs typeface="+mn-cs"/>
                                  </a:rPr>
                                  <m:t>−</m:t>
                                </m:r>
                                <m:r>
                                  <a:rPr lang="ar-AE" sz="1100" i="1">
                                    <a:solidFill>
                                      <a:schemeClr val="dk1"/>
                                    </a:solidFill>
                                    <a:latin typeface="Cambria Math" panose="02040503050406030204" pitchFamily="18" charset="0"/>
                                    <a:ea typeface="+mn-ea"/>
                                    <a:cs typeface="+mn-cs"/>
                                  </a:rPr>
                                  <m:t>𝐸</m:t>
                                </m:r>
                                <m:sSup>
                                  <m:sSupPr>
                                    <m:ctrlPr>
                                      <a:rPr lang="ar-AE" sz="1100" i="1">
                                        <a:solidFill>
                                          <a:schemeClr val="dk1"/>
                                        </a:solidFill>
                                        <a:latin typeface="Cambria Math" panose="02040503050406030204" pitchFamily="18" charset="0"/>
                                        <a:ea typeface="+mn-ea"/>
                                        <a:cs typeface="+mn-cs"/>
                                      </a:rPr>
                                    </m:ctrlPr>
                                  </m:sSupPr>
                                  <m:e>
                                    <m:d>
                                      <m:dPr>
                                        <m:begChr m:val=""/>
                                        <m:endChr m:val=""/>
                                        <m:ctrlPr>
                                          <a:rPr lang="ar-AE" sz="1100" i="1">
                                            <a:solidFill>
                                              <a:schemeClr val="dk1"/>
                                            </a:solidFill>
                                            <a:latin typeface="Cambria Math" panose="02040503050406030204" pitchFamily="18" charset="0"/>
                                            <a:ea typeface="+mn-ea"/>
                                            <a:cs typeface="+mn-cs"/>
                                          </a:rPr>
                                        </m:ctrlPr>
                                      </m:dPr>
                                      <m:e>
                                        <m:r>
                                          <a:rPr lang="ar-AE" sz="1100" i="0">
                                            <a:solidFill>
                                              <a:schemeClr val="dk1"/>
                                            </a:solidFill>
                                            <a:latin typeface="Cambria Math" panose="02040503050406030204" pitchFamily="18" charset="0"/>
                                            <a:ea typeface="+mn-ea"/>
                                            <a:cs typeface="+mn-cs"/>
                                          </a:rPr>
                                          <m:t>)</m:t>
                                        </m:r>
                                      </m:e>
                                    </m:d>
                                  </m:e>
                                  <m:sup>
                                    <m:r>
                                      <a:rPr lang="ar-AE" sz="1100" i="0">
                                        <a:solidFill>
                                          <a:schemeClr val="dk1"/>
                                        </a:solidFill>
                                        <a:latin typeface="Cambria Math" panose="02040503050406030204" pitchFamily="18" charset="0"/>
                                        <a:ea typeface="+mn-ea"/>
                                        <a:cs typeface="+mn-cs"/>
                                      </a:rPr>
                                      <m:t>2</m:t>
                                    </m:r>
                                  </m:sup>
                                </m:sSup>
                              </m:e>
                            </m:d>
                          </m:num>
                          <m:den>
                            <m:r>
                              <a:rPr lang="ar-AE" sz="1100" i="1">
                                <a:solidFill>
                                  <a:schemeClr val="dk1"/>
                                </a:solidFill>
                                <a:latin typeface="Cambria Math" panose="02040503050406030204" pitchFamily="18" charset="0"/>
                                <a:ea typeface="+mn-ea"/>
                                <a:cs typeface="+mn-cs"/>
                              </a:rPr>
                              <m:t>𝐸</m:t>
                            </m:r>
                          </m:den>
                        </m:f>
                      </m:e>
                    </m:nary>
                  </m:oMath>
                </m:oMathPara>
              </a14:m>
              <a:endParaRPr lang="ar-AE"/>
            </a:p>
            <a:p>
              <a:endParaRPr lang="en-IN" sz="1100"/>
            </a:p>
          </xdr:txBody>
        </xdr:sp>
      </mc:Choice>
      <mc:Fallback xmlns="">
        <xdr:sp macro="" textlink="">
          <xdr:nvSpPr>
            <xdr:cNvPr id="5" name="TextBox 4">
              <a:extLst>
                <a:ext uri="{FF2B5EF4-FFF2-40B4-BE49-F238E27FC236}">
                  <a16:creationId xmlns:a16="http://schemas.microsoft.com/office/drawing/2014/main" id="{B2A837DE-702B-951B-3EAF-8B48E2174BBC}"/>
                </a:ext>
              </a:extLst>
            </xdr:cNvPr>
            <xdr:cNvSpPr txBox="1"/>
          </xdr:nvSpPr>
          <xdr:spPr>
            <a:xfrm>
              <a:off x="3688080" y="5745480"/>
              <a:ext cx="2971800" cy="1005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Step 2: Chi-Square Formula</a:t>
              </a:r>
            </a:p>
            <a:p>
              <a:r>
                <a:rPr lang="ar-AE" sz="1100" i="0">
                  <a:solidFill>
                    <a:schemeClr val="dk1"/>
                  </a:solidFill>
                  <a:latin typeface="+mn-lt"/>
                  <a:ea typeface="+mn-ea"/>
                  <a:cs typeface="+mn-cs"/>
                </a:rPr>
                <a:t>𝜒^2=∑128▒(𝑂−𝐸├ )┤^2 ┤/𝐸</a:t>
              </a:r>
              <a:endParaRPr lang="ar-AE"/>
            </a:p>
            <a:p>
              <a:endParaRPr lang="en-IN" sz="1100"/>
            </a:p>
          </xdr:txBody>
        </xdr:sp>
      </mc:Fallback>
    </mc:AlternateContent>
    <xdr:clientData/>
  </xdr:twoCellAnchor>
  <xdr:twoCellAnchor>
    <xdr:from>
      <xdr:col>4</xdr:col>
      <xdr:colOff>563880</xdr:colOff>
      <xdr:row>38</xdr:row>
      <xdr:rowOff>114300</xdr:rowOff>
    </xdr:from>
    <xdr:to>
      <xdr:col>9</xdr:col>
      <xdr:colOff>358140</xdr:colOff>
      <xdr:row>43</xdr:row>
      <xdr:rowOff>38100</xdr:rowOff>
    </xdr:to>
    <xdr:sp macro="" textlink="">
      <xdr:nvSpPr>
        <xdr:cNvPr id="6" name="TextBox 5">
          <a:extLst>
            <a:ext uri="{FF2B5EF4-FFF2-40B4-BE49-F238E27FC236}">
              <a16:creationId xmlns:a16="http://schemas.microsoft.com/office/drawing/2014/main" id="{A0EC91DA-EE40-3D90-7682-09EEFECF044B}"/>
            </a:ext>
          </a:extLst>
        </xdr:cNvPr>
        <xdr:cNvSpPr txBox="1"/>
      </xdr:nvSpPr>
      <xdr:spPr>
        <a:xfrm>
          <a:off x="3741420" y="7063740"/>
          <a:ext cx="2842260" cy="838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step</a:t>
          </a:r>
          <a:r>
            <a:rPr lang="en-IN" sz="1100" b="1" baseline="0"/>
            <a:t> 3: </a:t>
          </a:r>
          <a:r>
            <a:rPr lang="en-IN" b="1"/>
            <a:t>Degrees of Freedom (df)</a:t>
          </a:r>
        </a:p>
        <a:p>
          <a:r>
            <a:rPr lang="en-IN" b="1"/>
            <a:t>df=(r−1)(c−1)</a:t>
          </a:r>
        </a:p>
        <a:p>
          <a:r>
            <a:rPr lang="en-IN" sz="1100" b="1"/>
            <a:t>And</a:t>
          </a:r>
        </a:p>
        <a:p>
          <a:r>
            <a:rPr lang="en-IN" sz="1100" b="1"/>
            <a:t>P</a:t>
          </a:r>
          <a:r>
            <a:rPr lang="en-IN" sz="1100" b="1" baseline="0"/>
            <a:t> value</a:t>
          </a:r>
          <a:endParaRPr lang="en-IN" sz="1100" b="1"/>
        </a:p>
        <a:p>
          <a:endParaRPr lang="en-IN" sz="1100" b="1"/>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Yug%20Patel\Downloads\excel_variance_assessment_data.xlsx" TargetMode="External"/><Relationship Id="rId1" Type="http://schemas.openxmlformats.org/officeDocument/2006/relationships/externalLinkPath" Target="file:///C:\Users\Yug%20Patel\Downloads\excel_variance_assessment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gures 2007-2009 (2)"/>
      <sheetName val="Height Groups"/>
    </sheetNames>
    <sheetDataSet>
      <sheetData sheetId="0"/>
      <sheetData sheetId="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625A990-F71D-43CE-A755-C62D54107048}" autoFormatId="16" applyNumberFormats="0" applyBorderFormats="0" applyFontFormats="0" applyPatternFormats="0" applyAlignmentFormats="0" applyWidthHeightFormats="0">
  <queryTableRefresh nextId="7">
    <queryTableFields count="6">
      <queryTableField id="1" name="2007 Month" tableColumnId="1"/>
      <queryTableField id="2" name="2007 Amount" tableColumnId="2"/>
      <queryTableField id="3" name="2008 Month" tableColumnId="3"/>
      <queryTableField id="4" name="2008 Amount" tableColumnId="4"/>
      <queryTableField id="5" name="2009 Month" tableColumnId="5"/>
      <queryTableField id="6" name="2009 Amount"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52BCD06A-FB97-47E6-A42F-C80F6374595A}" autoFormatId="16" applyNumberFormats="0" applyBorderFormats="0" applyFontFormats="0" applyPatternFormats="0" applyAlignmentFormats="0" applyWidthHeightFormats="0">
  <queryTableRefresh nextId="7">
    <queryTableFields count="6">
      <queryTableField id="1" name="Group 1 Ref" tableColumnId="1"/>
      <queryTableField id="2" name="Height" tableColumnId="2"/>
      <queryTableField id="3" name="Group 2 Ref" tableColumnId="3"/>
      <queryTableField id="4" name="Height2" tableColumnId="4"/>
      <queryTableField id="5" name="Group 3 Ref" tableColumnId="5"/>
      <queryTableField id="6" name="Height3"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D7C79C-3170-42A2-92B8-4584BBC4C7FD}" name="Table14" displayName="Table14" ref="A1:F13" tableType="queryTable" totalsRowShown="0">
  <autoFilter ref="A1:F13" xr:uid="{8BD7C79C-3170-42A2-92B8-4584BBC4C7FD}"/>
  <tableColumns count="6">
    <tableColumn id="1" xr3:uid="{190016F0-3898-45EE-962E-B3D0E0B96351}" uniqueName="1" name="2007 Month" queryTableFieldId="1" dataDxfId="5"/>
    <tableColumn id="2" xr3:uid="{FE5149DF-CD15-4E98-AAC9-A0ED17876CCB}" uniqueName="2" name="2007 Amount" queryTableFieldId="2"/>
    <tableColumn id="3" xr3:uid="{5C0EB701-BCEB-450A-9A26-756739BE283B}" uniqueName="3" name="2008 Month" queryTableFieldId="3" dataDxfId="4"/>
    <tableColumn id="4" xr3:uid="{7238A9B6-B456-4BEC-AC8D-952E96B081E7}" uniqueName="4" name="2008 Amount" queryTableFieldId="4"/>
    <tableColumn id="5" xr3:uid="{0160274E-ED3E-4A7F-BBCE-1E388B984244}" uniqueName="5" name="2009 Month" queryTableFieldId="5" dataDxfId="3"/>
    <tableColumn id="6" xr3:uid="{A3DED1E1-82D7-4F68-86B8-B28B4A307063}" uniqueName="6" name="2009 Amount"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970C33-B8D1-404A-960C-DB489FCC8A13}" name="Table2" displayName="Table2" ref="A1:F9" tableType="queryTable" totalsRowShown="0">
  <autoFilter ref="A1:F9" xr:uid="{B1970C33-B8D1-404A-960C-DB489FCC8A13}"/>
  <tableColumns count="6">
    <tableColumn id="1" xr3:uid="{E25B23DE-6B11-4B7C-AB2E-F5AFD8E5E79F}" uniqueName="1" name="Group 1 Ref" queryTableFieldId="1" dataDxfId="2"/>
    <tableColumn id="2" xr3:uid="{5C02D1C7-F751-45DD-99D1-46DB18141EB2}" uniqueName="2" name="Height" queryTableFieldId="2"/>
    <tableColumn id="3" xr3:uid="{1B5D379A-948A-4254-9BD3-6790342E4289}" uniqueName="3" name="Group 2 Ref" queryTableFieldId="3" dataDxfId="1"/>
    <tableColumn id="4" xr3:uid="{A577DB1A-8EF4-44ED-8890-FA6ADCB2D410}" uniqueName="4" name="Height2" queryTableFieldId="4"/>
    <tableColumn id="5" xr3:uid="{7E92FAD2-C58B-4FF4-BA71-A5619DFB1849}" uniqueName="5" name="Group 3 Ref" queryTableFieldId="5" dataDxfId="0"/>
    <tableColumn id="6" xr3:uid="{9B70A825-7E6B-499C-93CE-E16805DD4DE3}" uniqueName="6" name="Height3"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A0D8A-EA02-4C33-BDA3-67331896665A}">
  <dimension ref="A2:L46"/>
  <sheetViews>
    <sheetView topLeftCell="A13" workbookViewId="0">
      <selection activeCell="D7" sqref="D7"/>
    </sheetView>
  </sheetViews>
  <sheetFormatPr defaultRowHeight="14.4" x14ac:dyDescent="0.3"/>
  <cols>
    <col min="2" max="2" width="12" bestFit="1" customWidth="1"/>
    <col min="3" max="3" width="16.5546875" bestFit="1" customWidth="1"/>
  </cols>
  <sheetData>
    <row r="2" spans="1:4" x14ac:dyDescent="0.3">
      <c r="A2" s="1"/>
      <c r="B2" s="1" t="s">
        <v>0</v>
      </c>
      <c r="C2" s="1" t="s">
        <v>1</v>
      </c>
      <c r="D2" s="1" t="s">
        <v>2</v>
      </c>
    </row>
    <row r="3" spans="1:4" x14ac:dyDescent="0.3">
      <c r="A3" s="2" t="s">
        <v>3</v>
      </c>
      <c r="B3" s="1">
        <v>89</v>
      </c>
      <c r="C3" s="1">
        <v>4</v>
      </c>
      <c r="D3" s="1">
        <v>50</v>
      </c>
    </row>
    <row r="4" spans="1:4" x14ac:dyDescent="0.3">
      <c r="A4" s="1" t="s">
        <v>4</v>
      </c>
      <c r="B4" s="1">
        <v>82</v>
      </c>
      <c r="C4" s="1">
        <v>9</v>
      </c>
      <c r="D4" s="1">
        <v>120</v>
      </c>
    </row>
    <row r="7" spans="1:4" x14ac:dyDescent="0.3">
      <c r="A7" t="s">
        <v>22</v>
      </c>
    </row>
    <row r="8" spans="1:4" x14ac:dyDescent="0.3">
      <c r="A8" t="s">
        <v>21</v>
      </c>
    </row>
    <row r="10" spans="1:4" x14ac:dyDescent="0.3">
      <c r="A10" t="s">
        <v>10</v>
      </c>
      <c r="B10">
        <f>(B3-B4)/SQRT(((C3^2)/D3)+((C4^2)/D4))</f>
        <v>7.0175658996391963</v>
      </c>
    </row>
    <row r="11" spans="1:4" x14ac:dyDescent="0.3">
      <c r="A11" t="s">
        <v>11</v>
      </c>
      <c r="B11">
        <f>2*(1-_xlfn.NORM.S.DIST(B10, TRUE))</f>
        <v>2.2577495428777183E-12</v>
      </c>
    </row>
    <row r="13" spans="1:4" x14ac:dyDescent="0.3">
      <c r="A13" s="3" t="s">
        <v>12</v>
      </c>
    </row>
    <row r="17" spans="1:12" x14ac:dyDescent="0.3">
      <c r="A17" s="1" t="s">
        <v>5</v>
      </c>
      <c r="B17" s="1" t="s">
        <v>6</v>
      </c>
      <c r="C17" s="1" t="s">
        <v>15</v>
      </c>
      <c r="D17" s="1" t="s">
        <v>7</v>
      </c>
    </row>
    <row r="18" spans="1:12" x14ac:dyDescent="0.3">
      <c r="A18" s="1" t="s">
        <v>8</v>
      </c>
      <c r="B18" s="1">
        <v>220</v>
      </c>
      <c r="C18" s="1">
        <v>230</v>
      </c>
      <c r="D18" s="1">
        <v>550</v>
      </c>
    </row>
    <row r="19" spans="1:12" x14ac:dyDescent="0.3">
      <c r="A19" s="1" t="s">
        <v>9</v>
      </c>
      <c r="B19" s="1">
        <v>350</v>
      </c>
      <c r="C19" s="1">
        <v>640</v>
      </c>
      <c r="D19" s="1">
        <v>990</v>
      </c>
    </row>
    <row r="20" spans="1:12" x14ac:dyDescent="0.3">
      <c r="A20" s="1" t="s">
        <v>7</v>
      </c>
      <c r="B20" s="1">
        <v>680</v>
      </c>
      <c r="C20" s="1">
        <v>910</v>
      </c>
      <c r="D20" s="1">
        <v>1590</v>
      </c>
    </row>
    <row r="22" spans="1:12" x14ac:dyDescent="0.3">
      <c r="A22" t="s">
        <v>13</v>
      </c>
      <c r="B22" s="3" t="s">
        <v>19</v>
      </c>
    </row>
    <row r="23" spans="1:12" x14ac:dyDescent="0.3">
      <c r="B23" s="3" t="s">
        <v>20</v>
      </c>
    </row>
    <row r="26" spans="1:12" x14ac:dyDescent="0.3">
      <c r="A26" s="1" t="s">
        <v>5</v>
      </c>
      <c r="B26" s="1" t="s">
        <v>6</v>
      </c>
      <c r="C26" s="4" t="s">
        <v>15</v>
      </c>
    </row>
    <row r="27" spans="1:12" x14ac:dyDescent="0.3">
      <c r="A27" s="1" t="s">
        <v>8</v>
      </c>
      <c r="B27">
        <f>($B$20*D18)/$D$20</f>
        <v>235.22012578616352</v>
      </c>
      <c r="C27">
        <f>($C$20*D18)/$D$20</f>
        <v>314.77987421383648</v>
      </c>
    </row>
    <row r="28" spans="1:12" x14ac:dyDescent="0.3">
      <c r="A28" s="5" t="s">
        <v>9</v>
      </c>
      <c r="B28">
        <f>($B$20*D19)/$D$20</f>
        <v>423.39622641509436</v>
      </c>
      <c r="C28">
        <f>($C$20*D19)/$D$20</f>
        <v>566.60377358490564</v>
      </c>
    </row>
    <row r="30" spans="1:12" x14ac:dyDescent="0.3">
      <c r="L30" s="3"/>
    </row>
    <row r="32" spans="1:12" x14ac:dyDescent="0.3">
      <c r="A32" s="1" t="s">
        <v>5</v>
      </c>
      <c r="B32" s="1" t="s">
        <v>6</v>
      </c>
      <c r="C32" s="4" t="s">
        <v>15</v>
      </c>
    </row>
    <row r="33" spans="1:3" x14ac:dyDescent="0.3">
      <c r="A33" s="1" t="s">
        <v>8</v>
      </c>
      <c r="B33">
        <f>((B18-B27)^2)/B27</f>
        <v>0.98483166851646309</v>
      </c>
      <c r="C33">
        <f>((C18-C27)^2)/C27</f>
        <v>22.833820267782531</v>
      </c>
    </row>
    <row r="34" spans="1:3" x14ac:dyDescent="0.3">
      <c r="A34" s="5" t="s">
        <v>9</v>
      </c>
      <c r="B34">
        <f>((B19-B28)^2)/B28</f>
        <v>12.723320889247644</v>
      </c>
      <c r="C34">
        <f>((C19-C28)^2)/C28</f>
        <v>9.5075364886685705</v>
      </c>
    </row>
    <row r="36" spans="1:3" x14ac:dyDescent="0.3">
      <c r="A36" t="s">
        <v>14</v>
      </c>
      <c r="B36">
        <f>SUM(B33:C34)</f>
        <v>46.049509314215207</v>
      </c>
    </row>
    <row r="40" spans="1:3" x14ac:dyDescent="0.3">
      <c r="A40" t="s">
        <v>16</v>
      </c>
    </row>
    <row r="41" spans="1:3" x14ac:dyDescent="0.3">
      <c r="A41" t="s">
        <v>17</v>
      </c>
      <c r="B41">
        <f>_xlfn.CHISQ.DIST.RT(B36,1)</f>
        <v>1.1530202159547562E-11</v>
      </c>
    </row>
    <row r="46" spans="1:3" x14ac:dyDescent="0.3">
      <c r="A46" t="s">
        <v>18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309FE-1FB8-4332-B50E-5A2D644F0BFF}">
  <dimension ref="A1:F21"/>
  <sheetViews>
    <sheetView tabSelected="1" workbookViewId="0">
      <selection activeCell="B19" sqref="B19"/>
    </sheetView>
  </sheetViews>
  <sheetFormatPr defaultRowHeight="14.4" x14ac:dyDescent="0.3"/>
  <cols>
    <col min="1" max="1" width="13.44140625" bestFit="1" customWidth="1"/>
    <col min="2" max="2" width="14.5546875" bestFit="1" customWidth="1"/>
    <col min="3" max="3" width="13.44140625" bestFit="1" customWidth="1"/>
    <col min="4" max="4" width="14.5546875" bestFit="1" customWidth="1"/>
    <col min="5" max="5" width="13.44140625" bestFit="1" customWidth="1"/>
    <col min="6" max="6" width="14.5546875" bestFit="1" customWidth="1"/>
  </cols>
  <sheetData>
    <row r="1" spans="1:6" x14ac:dyDescent="0.3">
      <c r="A1" t="s">
        <v>26</v>
      </c>
      <c r="B1" t="s">
        <v>27</v>
      </c>
      <c r="C1" t="s">
        <v>28</v>
      </c>
      <c r="D1" t="s">
        <v>29</v>
      </c>
      <c r="E1" t="s">
        <v>30</v>
      </c>
      <c r="F1" t="s">
        <v>31</v>
      </c>
    </row>
    <row r="2" spans="1:6" x14ac:dyDescent="0.3">
      <c r="A2" s="6">
        <v>39083</v>
      </c>
      <c r="B2">
        <v>15000</v>
      </c>
      <c r="C2" s="6">
        <v>39448</v>
      </c>
      <c r="D2">
        <v>17500</v>
      </c>
      <c r="E2" s="6">
        <v>39814</v>
      </c>
      <c r="F2">
        <v>13000</v>
      </c>
    </row>
    <row r="3" spans="1:6" x14ac:dyDescent="0.3">
      <c r="A3" s="6">
        <v>39114</v>
      </c>
      <c r="B3">
        <v>14500</v>
      </c>
      <c r="C3" s="6">
        <v>39479</v>
      </c>
      <c r="D3">
        <v>12000</v>
      </c>
      <c r="E3" s="6">
        <v>39845</v>
      </c>
      <c r="F3">
        <v>15000</v>
      </c>
    </row>
    <row r="4" spans="1:6" x14ac:dyDescent="0.3">
      <c r="A4" s="6">
        <v>39142</v>
      </c>
      <c r="B4">
        <v>14500</v>
      </c>
      <c r="C4" s="6">
        <v>39508</v>
      </c>
      <c r="D4">
        <v>16000</v>
      </c>
      <c r="E4" s="6">
        <v>39873</v>
      </c>
      <c r="F4">
        <v>14000</v>
      </c>
    </row>
    <row r="5" spans="1:6" x14ac:dyDescent="0.3">
      <c r="A5" s="6">
        <v>39173</v>
      </c>
      <c r="B5">
        <v>14000</v>
      </c>
      <c r="C5" s="6">
        <v>39539</v>
      </c>
      <c r="D5">
        <v>19000</v>
      </c>
      <c r="E5" s="6">
        <v>39904</v>
      </c>
      <c r="F5">
        <v>16500</v>
      </c>
    </row>
    <row r="6" spans="1:6" x14ac:dyDescent="0.3">
      <c r="A6" s="6">
        <v>39203</v>
      </c>
      <c r="B6">
        <v>16000</v>
      </c>
      <c r="C6" s="6">
        <v>39569</v>
      </c>
      <c r="D6">
        <v>17000</v>
      </c>
      <c r="E6" s="6">
        <v>39934</v>
      </c>
      <c r="F6">
        <v>20000</v>
      </c>
    </row>
    <row r="7" spans="1:6" x14ac:dyDescent="0.3">
      <c r="A7" s="6">
        <v>39234</v>
      </c>
      <c r="B7">
        <v>9500</v>
      </c>
      <c r="C7" s="6">
        <v>39600</v>
      </c>
      <c r="D7">
        <v>10500</v>
      </c>
      <c r="E7" s="6">
        <v>39965</v>
      </c>
      <c r="F7">
        <v>12500</v>
      </c>
    </row>
    <row r="8" spans="1:6" x14ac:dyDescent="0.3">
      <c r="A8" s="6">
        <v>39264</v>
      </c>
      <c r="B8">
        <v>13500</v>
      </c>
      <c r="C8" s="6">
        <v>39630</v>
      </c>
      <c r="D8">
        <v>11000</v>
      </c>
      <c r="E8" s="6">
        <v>39995</v>
      </c>
      <c r="F8">
        <v>14000</v>
      </c>
    </row>
    <row r="9" spans="1:6" x14ac:dyDescent="0.3">
      <c r="A9" s="6">
        <v>39295</v>
      </c>
      <c r="B9">
        <v>17000</v>
      </c>
      <c r="C9" s="6">
        <v>39661</v>
      </c>
      <c r="D9">
        <v>12500</v>
      </c>
      <c r="E9" s="6">
        <v>40026</v>
      </c>
      <c r="F9">
        <v>18500</v>
      </c>
    </row>
    <row r="10" spans="1:6" x14ac:dyDescent="0.3">
      <c r="A10" s="6">
        <v>39326</v>
      </c>
      <c r="B10">
        <v>11000</v>
      </c>
      <c r="C10" s="6">
        <v>39692</v>
      </c>
      <c r="D10">
        <v>13000</v>
      </c>
      <c r="E10" s="6">
        <v>40057</v>
      </c>
      <c r="F10">
        <v>14500</v>
      </c>
    </row>
    <row r="11" spans="1:6" x14ac:dyDescent="0.3">
      <c r="A11" s="6">
        <v>39356</v>
      </c>
      <c r="B11">
        <v>15000</v>
      </c>
      <c r="C11" s="6">
        <v>39722</v>
      </c>
      <c r="D11">
        <v>15500</v>
      </c>
      <c r="E11" s="6">
        <v>40087</v>
      </c>
      <c r="F11">
        <v>13000</v>
      </c>
    </row>
    <row r="12" spans="1:6" x14ac:dyDescent="0.3">
      <c r="A12" s="6">
        <v>39387</v>
      </c>
      <c r="B12">
        <v>17500</v>
      </c>
      <c r="C12" s="6">
        <v>39753</v>
      </c>
      <c r="D12">
        <v>15000</v>
      </c>
      <c r="E12" s="6">
        <v>40118</v>
      </c>
      <c r="F12">
        <v>13000</v>
      </c>
    </row>
    <row r="13" spans="1:6" x14ac:dyDescent="0.3">
      <c r="A13" s="6">
        <v>39417</v>
      </c>
      <c r="B13">
        <v>18000</v>
      </c>
      <c r="C13" s="6">
        <v>39783</v>
      </c>
      <c r="D13">
        <v>17500</v>
      </c>
      <c r="E13" s="6">
        <v>40148</v>
      </c>
      <c r="F13">
        <v>17000</v>
      </c>
    </row>
    <row r="17" spans="1:2" x14ac:dyDescent="0.3">
      <c r="A17" s="3" t="s">
        <v>23</v>
      </c>
    </row>
    <row r="19" spans="1:2" x14ac:dyDescent="0.3">
      <c r="A19" t="s">
        <v>24</v>
      </c>
      <c r="B19">
        <f>_xlfn.VAR.P([1]!Table14[2007 Amount])</f>
        <v>5713541.666666667</v>
      </c>
    </row>
    <row r="21" spans="1:2" x14ac:dyDescent="0.3">
      <c r="A21" t="s">
        <v>25</v>
      </c>
      <c r="B21">
        <f>_xlfn.VAR.P([1]!Table14[2007 Amount],[1]!Table14[2008 Amount],[1]!Table14[2009 Amount])</f>
        <v>8789158.9506172836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41682-56E4-45C2-864C-4267A694E65B}">
  <dimension ref="A1:F14"/>
  <sheetViews>
    <sheetView workbookViewId="0">
      <selection activeCell="C16" sqref="C16"/>
    </sheetView>
  </sheetViews>
  <sheetFormatPr defaultRowHeight="14.4" x14ac:dyDescent="0.3"/>
  <cols>
    <col min="1" max="1" width="13.109375" bestFit="1" customWidth="1"/>
    <col min="2" max="2" width="8.6640625" bestFit="1" customWidth="1"/>
    <col min="3" max="3" width="13.109375" bestFit="1" customWidth="1"/>
    <col min="4" max="4" width="9.6640625" bestFit="1" customWidth="1"/>
    <col min="5" max="5" width="13.109375" bestFit="1" customWidth="1"/>
    <col min="6" max="6" width="9.6640625" bestFit="1" customWidth="1"/>
  </cols>
  <sheetData>
    <row r="1" spans="1:6" x14ac:dyDescent="0.3">
      <c r="A1" t="s">
        <v>32</v>
      </c>
      <c r="B1" t="s">
        <v>33</v>
      </c>
      <c r="C1" t="s">
        <v>34</v>
      </c>
      <c r="D1" t="s">
        <v>35</v>
      </c>
      <c r="E1" t="s">
        <v>36</v>
      </c>
      <c r="F1" t="s">
        <v>37</v>
      </c>
    </row>
    <row r="2" spans="1:6" x14ac:dyDescent="0.3">
      <c r="A2" s="7" t="s">
        <v>38</v>
      </c>
      <c r="B2">
        <v>176</v>
      </c>
      <c r="C2" s="7" t="s">
        <v>39</v>
      </c>
      <c r="D2">
        <v>179</v>
      </c>
      <c r="E2" s="7" t="s">
        <v>40</v>
      </c>
      <c r="F2">
        <v>179</v>
      </c>
    </row>
    <row r="3" spans="1:6" x14ac:dyDescent="0.3">
      <c r="A3" s="7" t="s">
        <v>41</v>
      </c>
      <c r="B3">
        <v>174</v>
      </c>
      <c r="C3" s="7" t="s">
        <v>42</v>
      </c>
      <c r="D3">
        <v>173</v>
      </c>
      <c r="E3" s="7" t="s">
        <v>43</v>
      </c>
      <c r="F3">
        <v>178</v>
      </c>
    </row>
    <row r="4" spans="1:6" x14ac:dyDescent="0.3">
      <c r="A4" s="7" t="s">
        <v>44</v>
      </c>
      <c r="B4">
        <v>181</v>
      </c>
      <c r="C4" s="7" t="s">
        <v>45</v>
      </c>
      <c r="D4">
        <v>184</v>
      </c>
      <c r="E4" s="7" t="s">
        <v>46</v>
      </c>
      <c r="F4">
        <v>176</v>
      </c>
    </row>
    <row r="5" spans="1:6" x14ac:dyDescent="0.3">
      <c r="A5" s="7" t="s">
        <v>47</v>
      </c>
      <c r="B5">
        <v>178</v>
      </c>
      <c r="C5" s="7" t="s">
        <v>48</v>
      </c>
      <c r="D5">
        <v>175</v>
      </c>
      <c r="E5" s="7" t="s">
        <v>49</v>
      </c>
      <c r="F5">
        <v>181</v>
      </c>
    </row>
    <row r="6" spans="1:6" x14ac:dyDescent="0.3">
      <c r="A6" s="7" t="s">
        <v>50</v>
      </c>
      <c r="B6">
        <v>183</v>
      </c>
      <c r="C6" s="7" t="s">
        <v>51</v>
      </c>
      <c r="D6">
        <v>172</v>
      </c>
      <c r="E6" s="7" t="s">
        <v>52</v>
      </c>
      <c r="F6">
        <v>177</v>
      </c>
    </row>
    <row r="7" spans="1:6" x14ac:dyDescent="0.3">
      <c r="A7" s="7" t="s">
        <v>53</v>
      </c>
      <c r="B7">
        <v>176</v>
      </c>
      <c r="C7" s="7" t="s">
        <v>54</v>
      </c>
      <c r="D7">
        <v>176</v>
      </c>
      <c r="E7" s="7" t="s">
        <v>55</v>
      </c>
      <c r="F7">
        <v>179</v>
      </c>
    </row>
    <row r="8" spans="1:6" x14ac:dyDescent="0.3">
      <c r="A8" s="7" t="s">
        <v>56</v>
      </c>
      <c r="B8">
        <v>177</v>
      </c>
      <c r="C8" s="7" t="s">
        <v>57</v>
      </c>
      <c r="D8">
        <v>177</v>
      </c>
      <c r="E8" s="7" t="s">
        <v>58</v>
      </c>
      <c r="F8">
        <v>176</v>
      </c>
    </row>
    <row r="9" spans="1:6" x14ac:dyDescent="0.3">
      <c r="A9" s="7" t="s">
        <v>59</v>
      </c>
      <c r="C9" s="7" t="s">
        <v>60</v>
      </c>
      <c r="E9" s="7" t="s">
        <v>61</v>
      </c>
    </row>
    <row r="12" spans="1:6" x14ac:dyDescent="0.3">
      <c r="A12" s="3" t="s">
        <v>62</v>
      </c>
    </row>
    <row r="14" spans="1:6" x14ac:dyDescent="0.3">
      <c r="A14">
        <f>_xlfn.VAR.S(B2:B9,D2:D9,F2:F9)</f>
        <v>9.2619047619047628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78DDD8-6E37-4F9A-B5A2-18B1B84C00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Table1</vt:lpstr>
      <vt:lpstr>Table2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yug patel</dc:creator>
  <cp:lastModifiedBy>yug patel</cp:lastModifiedBy>
  <dcterms:created xsi:type="dcterms:W3CDTF">2025-11-26T08:33:01Z</dcterms:created>
  <dcterms:modified xsi:type="dcterms:W3CDTF">2026-03-10T05:47:13Z</dcterms:modified>
</cp:coreProperties>
</file>